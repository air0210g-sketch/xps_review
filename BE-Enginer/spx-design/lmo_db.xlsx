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7 大促读QPS" sheetId="1" r:id="rId5"/>
    <sheet state="visible" name="BR 读QPS" sheetId="2" r:id="rId6"/>
    <sheet state="visible" name="77 大促写QPS" sheetId="3" r:id="rId7"/>
    <sheet state="visible" name="容量评估" sheetId="4" r:id="rId8"/>
    <sheet state="visible" name="BR 容量评估" sheetId="5" r:id="rId9"/>
    <sheet state="visible" name="kafka规格评估" sheetId="6" r:id="rId10"/>
  </sheets>
  <definedNames/>
  <calcPr/>
</workbook>
</file>

<file path=xl/sharedStrings.xml><?xml version="1.0" encoding="utf-8"?>
<sst xmlns="http://schemas.openxmlformats.org/spreadsheetml/2006/main" count="141" uniqueCount="65">
  <si>
    <t>备注</t>
  </si>
  <si>
    <t>ID</t>
  </si>
  <si>
    <t>PH</t>
  </si>
  <si>
    <t>TH</t>
  </si>
  <si>
    <t>MY</t>
  </si>
  <si>
    <t>VN</t>
  </si>
  <si>
    <t>TW</t>
  </si>
  <si>
    <t>SG</t>
  </si>
  <si>
    <t>BR</t>
  </si>
  <si>
    <t>读FO最大QPS</t>
  </si>
  <si>
    <t>CAT 监控</t>
  </si>
  <si>
    <t>接口QPS峰值预估</t>
  </si>
  <si>
    <t>cat监控QPS时基于1小时平均值，最大值需要*1.2</t>
  </si>
  <si>
    <t>接口QPS峰值预估预留30%buffer</t>
  </si>
  <si>
    <t>DB读QPS峰值</t>
  </si>
  <si>
    <t>lmo有8张表，每次接口调用平均要查8张表</t>
  </si>
  <si>
    <t>两年后DB读QPS峰值</t>
  </si>
  <si>
    <t>两年后预计单量增长一倍</t>
  </si>
  <si>
    <t>以23年77大促流量进行评估，根据cat监控显示，7.8、7.9左右号delivery 流量达到峰值，因此根据当天接口调用QPS评估delivery对fo数据查询要求</t>
  </si>
  <si>
    <t>该接口批量查询order，每个订单8张表，到FO DB层放大QPS至60K</t>
  </si>
  <si>
    <t>monitor 监控</t>
  </si>
  <si>
    <t>FO接口调用量</t>
  </si>
  <si>
    <t>FO DB QPS</t>
  </si>
  <si>
    <t>批量订单接口QPS</t>
  </si>
  <si>
    <t>批量接口QPS峰值预估每个接口2个订单</t>
  </si>
  <si>
    <t>FO db最大qps</t>
  </si>
  <si>
    <t>以2024.02.27观察，当前调用FO接口GetFleetOrderList最大QPS为1400，对应的FO db 最大qps为60K</t>
  </si>
  <si>
    <t>CreateFleetOrderTrack 写QPS</t>
  </si>
  <si>
    <t xml:space="preserve">CreateFleetOrderTrack </t>
  </si>
  <si>
    <t>delivery plan 写QPS</t>
  </si>
  <si>
    <t>delivery plan</t>
  </si>
  <si>
    <t>写QPS总和</t>
  </si>
  <si>
    <t>DB写QPS峰值</t>
  </si>
  <si>
    <t>lmo有8张表，每次接口调用平均要写4张表</t>
  </si>
  <si>
    <t>两年后DB写QPS峰值</t>
  </si>
  <si>
    <t>注：LMO写场景主要包含两部分，其一为DeliveryPlan数据， 其二为PushTracking触发的数据更新，因此可以根据这两种场景的QPS预估LMO DB的写QPS</t>
  </si>
  <si>
    <t>总单量</t>
  </si>
  <si>
    <t>数据量大小
（按一条完整的LMO占1kb预估）
单位GB</t>
  </si>
  <si>
    <t>预估两年后单量
（增长100%）</t>
  </si>
  <si>
    <t>预估两年后数据量大小
（按一条完整的LMO占1kb预估）
（增长100%）
单位GB</t>
  </si>
  <si>
    <t>数据量大小
（按一条完整的LMO占2kb预估）
单位GB</t>
  </si>
  <si>
    <t>Topic name</t>
  </si>
  <si>
    <t>TPS（带宽，MB/s）</t>
  </si>
  <si>
    <t>存储（GB）</t>
  </si>
  <si>
    <t>消息生命周期（天）</t>
  </si>
  <si>
    <t>目的、用处</t>
  </si>
  <si>
    <t>是否核心topic</t>
  </si>
  <si>
    <t>是否核心链路</t>
  </si>
  <si>
    <t>是否可被延迟</t>
  </si>
  <si>
    <t>推导过程</t>
  </si>
  <si>
    <t>spx-delivery-lmo-event-id-live</t>
  </si>
  <si>
    <t>2.4*2*24*3600/1024=406</t>
  </si>
  <si>
    <t>使用kafka作为事件总线，处理Delivery领域内的订单的事件</t>
  </si>
  <si>
    <t>是</t>
  </si>
  <si>
    <t>否</t>
  </si>
  <si>
    <t>live环境计划最大支持2400qps，消息平均1k左右，qps最大不超过2400条/s，所以平均tps约为2.4MB/s</t>
  </si>
  <si>
    <t>spx-delivery-lmo-event-ph-live</t>
  </si>
  <si>
    <t>spx-delivery-lmo-event-vn-live</t>
  </si>
  <si>
    <t>spx-delivery-lmo-event-br-live</t>
  </si>
  <si>
    <t>spx-delivery-lmo-event-th-live</t>
  </si>
  <si>
    <t>1.2*2*24*3600/1024=203</t>
  </si>
  <si>
    <t>live环境计划最大支持1200qps，消息平均1k左右，qps最大不超过1200条/s，所以平均tps约为1.2MB/s</t>
  </si>
  <si>
    <t>spx-delivery-lmo-event-my-live</t>
  </si>
  <si>
    <t>spx-delivery-lmo-event-sg-live</t>
  </si>
  <si>
    <t>spx-delivery-lmo-event-tw-live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</si>
</sst>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b/>
      <sz val="11.0"/>
      <color rgb="FF172B4D"/>
      <name val="-apple-system"/>
    </font>
    <font>
      <b/>
      <sz val="11.0"/>
      <color rgb="FF172B4D"/>
      <name val="Arial"/>
    </font>
    <font>
      <sz val="11.0"/>
      <color rgb="FF172B4D"/>
      <name val="-apple-system"/>
    </font>
    <font>
      <sz val="11.0"/>
      <color rgb="FF172B4D"/>
      <name val="Arial"/>
    </font>
    <font>
      <sz val="11.0"/>
      <color rgb="FF000000"/>
      <name val="Roboto"/>
    </font>
    <font>
      <sz val="11.0"/>
      <color rgb="FFF7F7F7"/>
      <name val="Roboto"/>
    </font>
    <font>
      <sz val="11.0"/>
      <color rgb="FF333333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313E52"/>
        <bgColor rgb="FF313E52"/>
      </patternFill>
    </fill>
  </fills>
  <borders count="10">
    <border/>
    <border>
      <left style="thin">
        <color rgb="FFC1C7D0"/>
      </left>
      <right style="thin">
        <color rgb="FFC1C7D0"/>
      </right>
      <top style="thin">
        <color rgb="FFC1C7D0"/>
      </top>
      <bottom style="thin">
        <color rgb="FFC1C7D0"/>
      </bottom>
    </border>
    <border>
      <right style="thin">
        <color rgb="FFC1C7D0"/>
      </right>
      <top style="thin">
        <color rgb="FFC1C7D0"/>
      </top>
      <bottom style="thin">
        <color rgb="FFC1C7D0"/>
      </bottom>
    </border>
    <border>
      <left style="thin">
        <color rgb="FFC1C7D0"/>
      </left>
      <right style="thin">
        <color rgb="FFC1C7D0"/>
      </right>
      <bottom style="thin">
        <color rgb="FFC1C7D0"/>
      </bottom>
    </border>
    <border>
      <right style="thin">
        <color rgb="FFC1C7D0"/>
      </right>
      <bottom style="thin">
        <color rgb="FFC1C7D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" xfId="0" applyAlignment="1" applyFont="1" applyNumberFormat="1">
      <alignment readingOrder="0"/>
    </xf>
    <xf borderId="0" fillId="2" fontId="1" numFmtId="0" xfId="0" applyFont="1"/>
    <xf borderId="1" fillId="0" fontId="3" numFmtId="0" xfId="0" applyAlignment="1" applyBorder="1" applyFont="1">
      <alignment vertical="top"/>
    </xf>
    <xf borderId="2" fillId="0" fontId="4" numFmtId="164" xfId="0" applyAlignment="1" applyBorder="1" applyFont="1" applyNumberFormat="1">
      <alignment horizontal="right" vertical="top"/>
    </xf>
    <xf borderId="2" fillId="0" fontId="4" numFmtId="0" xfId="0" applyAlignment="1" applyBorder="1" applyFont="1">
      <alignment vertical="top"/>
    </xf>
    <xf borderId="2" fillId="0" fontId="5" numFmtId="1" xfId="0" applyAlignment="1" applyBorder="1" applyFont="1" applyNumberFormat="1">
      <alignment vertical="top"/>
    </xf>
    <xf borderId="2" fillId="0" fontId="5" numFmtId="0" xfId="0" applyAlignment="1" applyBorder="1" applyFont="1">
      <alignment vertical="top"/>
    </xf>
    <xf borderId="3" fillId="3" fontId="6" numFmtId="0" xfId="0" applyAlignment="1" applyBorder="1" applyFill="1" applyFont="1">
      <alignment vertical="top"/>
    </xf>
    <xf borderId="4" fillId="3" fontId="6" numFmtId="0" xfId="0" applyAlignment="1" applyBorder="1" applyFont="1">
      <alignment vertical="top"/>
    </xf>
    <xf borderId="4" fillId="3" fontId="6" numFmtId="4" xfId="0" applyAlignment="1" applyBorder="1" applyFont="1" applyNumberFormat="1">
      <alignment vertical="top"/>
    </xf>
    <xf borderId="4" fillId="3" fontId="6" numFmtId="1" xfId="0" applyAlignment="1" applyBorder="1" applyFont="1" applyNumberFormat="1">
      <alignment vertical="top"/>
    </xf>
    <xf borderId="4" fillId="2" fontId="6" numFmtId="1" xfId="0" applyAlignment="1" applyBorder="1" applyFont="1" applyNumberFormat="1">
      <alignment vertical="top"/>
    </xf>
    <xf borderId="4" fillId="3" fontId="7" numFmtId="0" xfId="0" applyAlignment="1" applyBorder="1" applyFont="1">
      <alignment readingOrder="0" vertical="top"/>
    </xf>
    <xf borderId="4" fillId="3" fontId="3" numFmtId="0" xfId="0" applyAlignment="1" applyBorder="1" applyFont="1">
      <alignment vertical="top"/>
    </xf>
    <xf borderId="4" fillId="3" fontId="7" numFmtId="1" xfId="0" applyAlignment="1" applyBorder="1" applyFont="1" applyNumberFormat="1">
      <alignment readingOrder="0" vertical="bottom"/>
    </xf>
    <xf borderId="4" fillId="2" fontId="7" numFmtId="1" xfId="0" applyAlignment="1" applyBorder="1" applyFont="1" applyNumberFormat="1">
      <alignment readingOrder="0" vertical="top"/>
    </xf>
    <xf borderId="2" fillId="0" fontId="5" numFmtId="164" xfId="0" applyAlignment="1" applyBorder="1" applyFont="1" applyNumberFormat="1">
      <alignment horizontal="right" readingOrder="0" vertical="top"/>
    </xf>
    <xf borderId="2" fillId="0" fontId="5" numFmtId="1" xfId="0" applyAlignment="1" applyBorder="1" applyFont="1" applyNumberFormat="1">
      <alignment readingOrder="0" vertical="top"/>
    </xf>
    <xf borderId="0" fillId="3" fontId="8" numFmtId="3" xfId="0" applyAlignment="1" applyFont="1" applyNumberFormat="1">
      <alignment horizontal="left" readingOrder="0"/>
    </xf>
    <xf borderId="4" fillId="3" fontId="6" numFmtId="3" xfId="0" applyAlignment="1" applyBorder="1" applyFont="1" applyNumberFormat="1">
      <alignment vertical="top"/>
    </xf>
    <xf borderId="5" fillId="4" fontId="9" numFmtId="0" xfId="0" applyAlignment="1" applyBorder="1" applyFill="1" applyFont="1">
      <alignment vertical="bottom"/>
    </xf>
    <xf borderId="6" fillId="4" fontId="9" numFmtId="0" xfId="0" applyAlignment="1" applyBorder="1" applyFont="1">
      <alignment vertical="bottom"/>
    </xf>
    <xf borderId="7" fillId="3" fontId="10" numFmtId="0" xfId="0" applyAlignment="1" applyBorder="1" applyFont="1">
      <alignment vertical="bottom"/>
    </xf>
    <xf borderId="8" fillId="3" fontId="10" numFmtId="0" xfId="0" applyAlignment="1" applyBorder="1" applyFont="1">
      <alignment vertical="bottom"/>
    </xf>
    <xf borderId="9" fillId="3" fontId="1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t.ssc.shopeemobile.com/cat/r/t?date=2023070916&amp;ip=All&amp;step=-1&amp;ip=All&amp;queryname=&amp;domain=SPX-DELIVERY-live-id&amp;type=API.SPX-FleetOrder-live-id" TargetMode="External"/><Relationship Id="rId2" Type="http://schemas.openxmlformats.org/officeDocument/2006/relationships/hyperlink" Target="https://cat.ssc.shopeemobile.com/cat/r/t?date=2023070814&amp;ip=All&amp;step=-1&amp;ip=All&amp;queryname=&amp;domain=SPX-DELIVERY-live-ph&amp;type=API.SPX-FleetOrder-live-ph" TargetMode="External"/><Relationship Id="rId3" Type="http://schemas.openxmlformats.org/officeDocument/2006/relationships/hyperlink" Target="https://cat.ssc.shopeemobile.com/cat/r/t?date=2023070811&amp;ip=All&amp;step=-1&amp;ip=All&amp;queryname=&amp;domain=SPX-DELIVERY-live-th&amp;type=API.SPX-FleetOrder-live-th" TargetMode="External"/><Relationship Id="rId4" Type="http://schemas.openxmlformats.org/officeDocument/2006/relationships/hyperlink" Target="https://cat.ssc.shopeemobile.com/cat/r/t?date=2023071010&amp;ip=All&amp;step=1&amp;ip=All&amp;queryname=&amp;domain=SPX-DELIVERY-live-my&amp;type=API.SPX-FleetOrder-live-my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cat.ssc.shopeemobile.com/cat/r/t?date=2023071009&amp;ip=All&amp;step=1&amp;ip=All&amp;queryname=&amp;domain=SPX-DELIVERY-live-vn&amp;type=API.SPX-FleetOrder-live-vn" TargetMode="External"/><Relationship Id="rId6" Type="http://schemas.openxmlformats.org/officeDocument/2006/relationships/hyperlink" Target="https://cat.ssc.shopeemobile.com/cat/r/t?date=2023071009&amp;ip=All&amp;step=1&amp;ip=All&amp;queryname=&amp;domain=SPX-DELIVERY-live-tw&amp;type=API.SPX-FleetOrder-live-tw" TargetMode="External"/><Relationship Id="rId7" Type="http://schemas.openxmlformats.org/officeDocument/2006/relationships/hyperlink" Target="https://cat.ssc.shopeemobile.com/cat/r/t?date=2023071012&amp;ip=All&amp;step=1&amp;ip=All&amp;queryname=&amp;domain=SPX-DELIVERY-live-sg&amp;type=API.SPX-FleetOrder-live-sg" TargetMode="External"/><Relationship Id="rId8" Type="http://schemas.openxmlformats.org/officeDocument/2006/relationships/hyperlink" Target="https://cat.ssc.shopeemobile.com/cat/r/t?date=2023070901&amp;ip=All&amp;step=-1&amp;ip=All&amp;queryname=&amp;domain=SPX-DELIVERY-live-br&amp;type=API.SPX-FleetOrder-live-b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onitoring.infra.sz.shopee.io/grafana/explore?left=%7B%22datasource%22:%22monitoring-chassis%22,%22queries%22:%5B%7B%22datasource%22:%7B%22type%22:%22prometheus%22,%22uid%22:%22XxTnsf-4k%22%7D,%22exemplar%22:true,%22expr%22:%22sum(irate(consumer_handled_latency_count%7Boperation%3D%5C%22GetFleetOrderList%5C%22,application%3D~%5C%22spx-deliveryapi%7Cspx-deliverytask%5C%22,cid%3D%5C%22br%5C%22%7D%5B30s%5D))by(ctarget_service,cid,operation)%22,%22interval%22:%22%22,%22refId%22:%22A%22,%22instant%22:false,%22range%22:true,%22hide%22:false%7D%5D,%22range%22:%7B%22from%22:%22now-24h%22,%22to%22:%22now%22%7D%7D&amp;orgId=7" TargetMode="External"/><Relationship Id="rId2" Type="http://schemas.openxmlformats.org/officeDocument/2006/relationships/hyperlink" Target="https://monitoring.infra.sz.shopee.io/grafana/explore?left=%7B%22datasource%22:%22monitoring-chassis%22,%22queries%22:%5B%7B%22refId%22:%22B%22,%22instant%22:false,%22range%22:true,%22exemplar%22:true,%22expr%22:%22sum%20(irate(fo_read_db_count%7Boperation%3D%5C%22%2Fdelivery_fleet_order.DeliveryFleetOrderSlaveService%2FGetFleetOrderList%5C%22,application%3D~%5C%22spx-fleetorder.*%5C%22,query_cluster%3D%5C%22slave%5C%22,cid%3D%5C%22br%5C%22%7D%5B60s%5D))%20by%20(cid,operation)%22%7D%5D,%22range%22:%7B%22from%22:%221708963200000%22,%22to%22:%221709049599000%22%7D%7D&amp;orgId=1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cat.ssc.shopeemobile.com/cat/r/t?domain=SPX-DELIVERYTASK-live-th&amp;date=2023070914&amp;ip=All&amp;type=API.SPX-EventService-live-th" TargetMode="External"/><Relationship Id="rId10" Type="http://schemas.openxmlformats.org/officeDocument/2006/relationships/hyperlink" Target="https://cat.ssc.shopeemobile.com/cat/r/t?date=2023070913&amp;ip=All&amp;step=1&amp;ip=All&amp;queryname=dispatch_protobuf&amp;domain=SPX-DELIVERY-live-ph&amp;type=URL.spx-delivery-service-live-ph" TargetMode="External"/><Relationship Id="rId13" Type="http://schemas.openxmlformats.org/officeDocument/2006/relationships/hyperlink" Target="https://cat.ssc.shopeemobile.com/cat/r/t?date=2023070915&amp;ip=All&amp;step=-1&amp;ip=All&amp;queryname=dispatch_protobuf&amp;domain=SPX-DELIVERY-live-vn&amp;type=URL.spx-delivery-service-live-vn" TargetMode="External"/><Relationship Id="rId12" Type="http://schemas.openxmlformats.org/officeDocument/2006/relationships/hyperlink" Target="https://cat.ssc.shopeemobile.com/cat/r/t?date=2023070915&amp;ip=All&amp;step=-1&amp;ip=All&amp;queryname=dispatch_protobuf&amp;domain=SPX-DELIVERY-live-my&amp;type=URL.spx-delivery-service-live-my" TargetMode="External"/><Relationship Id="rId1" Type="http://schemas.openxmlformats.org/officeDocument/2006/relationships/hyperlink" Target="https://cat.ssc.shopeemobile.com/cat/r/t?domain=SPX-DELIVERYTASK-live-id&amp;date=2023070914&amp;ip=All&amp;type=API.SPX-EventService-live-id" TargetMode="External"/><Relationship Id="rId2" Type="http://schemas.openxmlformats.org/officeDocument/2006/relationships/hyperlink" Target="https://cat.ssc.shopeemobile.com/cat/r/t?date=2023070913&amp;ip=All&amp;step=1&amp;ip=All&amp;queryname=dispatch_protobuf&amp;domain=SPX-DELIVERY-live-ph&amp;type=URL.spx-delivery-service-live-ph" TargetMode="External"/><Relationship Id="rId3" Type="http://schemas.openxmlformats.org/officeDocument/2006/relationships/hyperlink" Target="https://cat.ssc.shopeemobile.com/cat/r/t?date=2023070913&amp;ip=All&amp;step=1&amp;ip=All&amp;queryname=dispatch_protobuf&amp;domain=SPX-DELIVERY-live-th&amp;type=URL.spx-delivery-service-live-th" TargetMode="External"/><Relationship Id="rId4" Type="http://schemas.openxmlformats.org/officeDocument/2006/relationships/hyperlink" Target="https://cat.ssc.shopeemobile.com/cat/r/t?domain=SPX-DELIVERYTASK-live-my&amp;date=2023070914&amp;ip=All&amp;type=API.SPX-EventService-live-my" TargetMode="External"/><Relationship Id="rId9" Type="http://schemas.openxmlformats.org/officeDocument/2006/relationships/hyperlink" Target="https://cat.ssc.shopeemobile.com/cat/r/t?date=2023070913&amp;ip=All&amp;step=1&amp;ip=All&amp;queryname=dispatch_protobuf&amp;domain=SPX-DELIVERY-live-id&amp;type=URL.spx-delivery-service-live-id" TargetMode="External"/><Relationship Id="rId15" Type="http://schemas.openxmlformats.org/officeDocument/2006/relationships/hyperlink" Target="https://cat.ssc.shopeemobile.com/cat/r/t?date=2023070915&amp;ip=All&amp;step=-1&amp;ip=All&amp;queryname=dispatch_protobuf&amp;domain=SPX-DELIVERY-live-sg&amp;type=URL.spx-delivery-service-live-sg" TargetMode="External"/><Relationship Id="rId14" Type="http://schemas.openxmlformats.org/officeDocument/2006/relationships/hyperlink" Target="https://cat.ssc.shopeemobile.com/cat/r/t?date=2023070915&amp;ip=All&amp;step=-1&amp;ip=All&amp;queryname=dispatch_protobuf&amp;domain=SPX-DELIVERY-live-tw&amp;type=URL.spx-delivery-service-live-tw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cat.ssc.shopeemobile.com/cat/r/t?date=2023070820&amp;ip=All&amp;step=1&amp;ip=All&amp;queryname=dispatch_protobuf&amp;domain=SPX-DELIVERY-live-br&amp;type=URL.spx-delivery-service-live-br" TargetMode="External"/><Relationship Id="rId5" Type="http://schemas.openxmlformats.org/officeDocument/2006/relationships/hyperlink" Target="https://cat.ssc.shopeemobile.com/cat/r/t?domain=SPX-DELIVERYTASK-live-vn&amp;date=2023070914&amp;ip=All&amp;type=API.SPX-EventService-live-vn" TargetMode="External"/><Relationship Id="rId6" Type="http://schemas.openxmlformats.org/officeDocument/2006/relationships/hyperlink" Target="https://cat.ssc.shopeemobile.com/cat/r/t?domain=SPX-DELIVERYTASK-live-tw&amp;date=2023070914&amp;ip=All&amp;type=API.SPX-EventService-live-tw" TargetMode="External"/><Relationship Id="rId7" Type="http://schemas.openxmlformats.org/officeDocument/2006/relationships/hyperlink" Target="https://cat.ssc.shopeemobile.com/cat/r/t?domain=SPX-DELIVERYTASK-live-sg&amp;date=2023070914&amp;ip=All&amp;type=API.SPX-EventService-live-sg" TargetMode="External"/><Relationship Id="rId8" Type="http://schemas.openxmlformats.org/officeDocument/2006/relationships/hyperlink" Target="https://cat.ssc.shopeemobile.com/cat/r/t?date=2023070822&amp;ip=All&amp;step=-1&amp;ip=All&amp;queryname=&amp;domain=SPX-DELIVERYTASK-live-br&amp;type=API.SPX-EventService-live-br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38.5"/>
    <col customWidth="1" min="3" max="3" width="18.75"/>
    <col customWidth="1" min="4" max="4" width="18.38"/>
    <col customWidth="1" min="5" max="5" width="16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9</v>
      </c>
      <c r="B2" s="1"/>
      <c r="C2" s="1">
        <v>2000.0</v>
      </c>
      <c r="D2" s="1">
        <v>400.0</v>
      </c>
      <c r="E2" s="1">
        <v>400.0</v>
      </c>
      <c r="F2" s="1">
        <v>400.0</v>
      </c>
      <c r="G2" s="1">
        <v>1200.0</v>
      </c>
      <c r="H2" s="1">
        <v>10.0</v>
      </c>
      <c r="I2" s="1">
        <v>100.0</v>
      </c>
      <c r="J2" s="1">
        <v>200.0</v>
      </c>
    </row>
    <row r="3">
      <c r="A3" s="1" t="s">
        <v>10</v>
      </c>
      <c r="B3" s="2"/>
      <c r="C3" s="3">
        <v>70916.0</v>
      </c>
      <c r="D3" s="3">
        <v>70814.0</v>
      </c>
      <c r="E3" s="3">
        <v>70811.0</v>
      </c>
      <c r="F3" s="3">
        <v>71010.0</v>
      </c>
      <c r="G3" s="3">
        <v>71009.0</v>
      </c>
      <c r="H3" s="3">
        <v>71009.0</v>
      </c>
      <c r="I3" s="3">
        <v>71012.0</v>
      </c>
      <c r="J3" s="3">
        <v>70901.0</v>
      </c>
    </row>
    <row r="4">
      <c r="A4" s="1" t="s">
        <v>11</v>
      </c>
      <c r="B4" s="1" t="s">
        <v>12</v>
      </c>
      <c r="C4" s="1">
        <f t="shared" ref="C4:J4" si="1">C2*1.2</f>
        <v>2400</v>
      </c>
      <c r="D4" s="1">
        <f t="shared" si="1"/>
        <v>480</v>
      </c>
      <c r="E4" s="1">
        <f t="shared" si="1"/>
        <v>480</v>
      </c>
      <c r="F4" s="1">
        <f t="shared" si="1"/>
        <v>480</v>
      </c>
      <c r="G4" s="1">
        <f t="shared" si="1"/>
        <v>1440</v>
      </c>
      <c r="H4" s="1">
        <f t="shared" si="1"/>
        <v>12</v>
      </c>
      <c r="I4" s="1">
        <f t="shared" si="1"/>
        <v>120</v>
      </c>
      <c r="J4" s="1">
        <f t="shared" si="1"/>
        <v>240</v>
      </c>
    </row>
    <row r="5">
      <c r="A5" s="1" t="s">
        <v>11</v>
      </c>
      <c r="B5" s="1" t="s">
        <v>13</v>
      </c>
      <c r="C5" s="1">
        <f t="shared" ref="C5:J5" si="2">C4 * 1.3</f>
        <v>3120</v>
      </c>
      <c r="D5" s="1">
        <f t="shared" si="2"/>
        <v>624</v>
      </c>
      <c r="E5" s="1">
        <f t="shared" si="2"/>
        <v>624</v>
      </c>
      <c r="F5" s="1">
        <f t="shared" si="2"/>
        <v>624</v>
      </c>
      <c r="G5" s="1">
        <f t="shared" si="2"/>
        <v>1872</v>
      </c>
      <c r="H5" s="4">
        <f t="shared" si="2"/>
        <v>15.6</v>
      </c>
      <c r="I5" s="1">
        <f t="shared" si="2"/>
        <v>156</v>
      </c>
      <c r="J5" s="1">
        <f t="shared" si="2"/>
        <v>312</v>
      </c>
    </row>
    <row r="6">
      <c r="A6" s="1" t="s">
        <v>14</v>
      </c>
      <c r="B6" s="1" t="s">
        <v>15</v>
      </c>
      <c r="C6" s="1">
        <f t="shared" ref="C6:J6" si="3">C5 *8</f>
        <v>24960</v>
      </c>
      <c r="D6" s="1">
        <f t="shared" si="3"/>
        <v>4992</v>
      </c>
      <c r="E6" s="1">
        <f t="shared" si="3"/>
        <v>4992</v>
      </c>
      <c r="F6" s="1">
        <f t="shared" si="3"/>
        <v>4992</v>
      </c>
      <c r="G6" s="1">
        <f t="shared" si="3"/>
        <v>14976</v>
      </c>
      <c r="H6" s="4">
        <f t="shared" si="3"/>
        <v>124.8</v>
      </c>
      <c r="I6" s="1">
        <f t="shared" si="3"/>
        <v>1248</v>
      </c>
      <c r="J6" s="1">
        <f t="shared" si="3"/>
        <v>2496</v>
      </c>
    </row>
    <row r="7">
      <c r="A7" s="5" t="s">
        <v>16</v>
      </c>
      <c r="B7" s="5" t="s">
        <v>17</v>
      </c>
      <c r="C7" s="5">
        <f t="shared" ref="C7:J7" si="4">C6*2</f>
        <v>49920</v>
      </c>
      <c r="D7" s="5">
        <f t="shared" si="4"/>
        <v>9984</v>
      </c>
      <c r="E7" s="5">
        <f t="shared" si="4"/>
        <v>9984</v>
      </c>
      <c r="F7" s="5">
        <f t="shared" si="4"/>
        <v>9984</v>
      </c>
      <c r="G7" s="5">
        <f t="shared" si="4"/>
        <v>29952</v>
      </c>
      <c r="H7" s="6">
        <f t="shared" si="4"/>
        <v>249.6</v>
      </c>
      <c r="I7" s="5">
        <f t="shared" si="4"/>
        <v>2496</v>
      </c>
      <c r="J7" s="5">
        <f t="shared" si="4"/>
        <v>4992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10">
      <c r="A10" s="1" t="s">
        <v>18</v>
      </c>
    </row>
  </sheetData>
  <hyperlinks>
    <hyperlink r:id="rId1" ref="C3"/>
    <hyperlink r:id="rId2" ref="D3"/>
    <hyperlink r:id="rId3" ref="E3"/>
    <hyperlink r:id="rId4" ref="F3"/>
    <hyperlink r:id="rId5" ref="G3"/>
    <hyperlink r:id="rId6" ref="H3"/>
    <hyperlink r:id="rId7" ref="I3"/>
    <hyperlink r:id="rId8" ref="J3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38.5"/>
    <col customWidth="1" min="4" max="4" width="52.75"/>
  </cols>
  <sheetData>
    <row r="1">
      <c r="B1" s="1" t="s">
        <v>0</v>
      </c>
      <c r="C1" s="1" t="s">
        <v>8</v>
      </c>
      <c r="D1" s="1" t="s">
        <v>0</v>
      </c>
    </row>
    <row r="2">
      <c r="A2" s="1" t="s">
        <v>9</v>
      </c>
      <c r="B2" s="1"/>
      <c r="C2" s="1">
        <v>1400.0</v>
      </c>
      <c r="D2" s="1" t="s">
        <v>19</v>
      </c>
    </row>
    <row r="3">
      <c r="A3" s="1" t="s">
        <v>20</v>
      </c>
      <c r="B3" s="2"/>
      <c r="C3" s="3" t="s">
        <v>21</v>
      </c>
      <c r="D3" s="3" t="s">
        <v>22</v>
      </c>
    </row>
    <row r="4">
      <c r="A4" s="1" t="s">
        <v>23</v>
      </c>
      <c r="B4" s="1" t="s">
        <v>24</v>
      </c>
      <c r="C4" s="1">
        <f>C2*2</f>
        <v>2800</v>
      </c>
    </row>
    <row r="5">
      <c r="A5" s="1" t="s">
        <v>14</v>
      </c>
      <c r="B5" s="1" t="s">
        <v>15</v>
      </c>
      <c r="C5" s="1">
        <f>C4 *8</f>
        <v>22400</v>
      </c>
    </row>
    <row r="6">
      <c r="A6" s="5" t="s">
        <v>16</v>
      </c>
      <c r="B6" s="5" t="s">
        <v>17</v>
      </c>
      <c r="C6" s="5">
        <f>C5*2</f>
        <v>44800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1" t="s">
        <v>25</v>
      </c>
      <c r="C7" s="1">
        <v>60000.0</v>
      </c>
    </row>
    <row r="9">
      <c r="A9" s="1"/>
    </row>
    <row r="10">
      <c r="A10" s="1" t="s">
        <v>26</v>
      </c>
    </row>
  </sheetData>
  <hyperlinks>
    <hyperlink r:id="rId1" ref="C3"/>
    <hyperlink r:id="rId2" ref="D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8.5"/>
    <col customWidth="1" min="3" max="3" width="18.75"/>
    <col customWidth="1" min="4" max="4" width="18.38"/>
    <col customWidth="1" min="5" max="5" width="16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27</v>
      </c>
      <c r="B2" s="1" t="s">
        <v>28</v>
      </c>
      <c r="C2" s="3">
        <v>500.0</v>
      </c>
      <c r="D2" s="3">
        <v>100.0</v>
      </c>
      <c r="E2" s="3">
        <v>30.0</v>
      </c>
      <c r="F2" s="3">
        <v>60.0</v>
      </c>
      <c r="G2" s="3">
        <v>140.0</v>
      </c>
      <c r="H2" s="3">
        <v>1.0</v>
      </c>
      <c r="I2" s="3">
        <v>10.0</v>
      </c>
      <c r="J2" s="3">
        <v>80.0</v>
      </c>
    </row>
    <row r="3">
      <c r="A3" s="1" t="s">
        <v>29</v>
      </c>
      <c r="B3" s="1" t="s">
        <v>30</v>
      </c>
      <c r="C3" s="3">
        <v>250.0</v>
      </c>
      <c r="D3" s="3">
        <v>70.0</v>
      </c>
      <c r="E3" s="3">
        <v>60.0</v>
      </c>
      <c r="F3" s="3">
        <v>30.0</v>
      </c>
      <c r="G3" s="3">
        <v>70.0</v>
      </c>
      <c r="H3" s="3">
        <v>10.0</v>
      </c>
      <c r="I3" s="3">
        <v>10.0</v>
      </c>
      <c r="J3" s="3">
        <v>50.0</v>
      </c>
    </row>
    <row r="4">
      <c r="A4" s="1" t="s">
        <v>31</v>
      </c>
      <c r="B4" s="2"/>
      <c r="C4" s="2">
        <f t="shared" ref="C4:J4" si="1">SUM(C2:C3)</f>
        <v>750</v>
      </c>
      <c r="D4" s="2">
        <f t="shared" si="1"/>
        <v>170</v>
      </c>
      <c r="E4" s="2">
        <f t="shared" si="1"/>
        <v>90</v>
      </c>
      <c r="F4" s="2">
        <f t="shared" si="1"/>
        <v>90</v>
      </c>
      <c r="G4" s="2">
        <f t="shared" si="1"/>
        <v>210</v>
      </c>
      <c r="H4" s="2">
        <f t="shared" si="1"/>
        <v>11</v>
      </c>
      <c r="I4" s="2">
        <f t="shared" si="1"/>
        <v>20</v>
      </c>
      <c r="J4" s="2">
        <f t="shared" si="1"/>
        <v>130</v>
      </c>
    </row>
    <row r="5">
      <c r="A5" s="1" t="s">
        <v>11</v>
      </c>
      <c r="B5" s="1" t="s">
        <v>12</v>
      </c>
      <c r="C5" s="1">
        <f t="shared" ref="C5:J5" si="2">C4*1.2</f>
        <v>900</v>
      </c>
      <c r="D5" s="1">
        <f t="shared" si="2"/>
        <v>204</v>
      </c>
      <c r="E5" s="1">
        <f t="shared" si="2"/>
        <v>108</v>
      </c>
      <c r="F5" s="1">
        <f t="shared" si="2"/>
        <v>108</v>
      </c>
      <c r="G5" s="1">
        <f t="shared" si="2"/>
        <v>252</v>
      </c>
      <c r="H5" s="4">
        <f t="shared" si="2"/>
        <v>13.2</v>
      </c>
      <c r="I5" s="1">
        <f t="shared" si="2"/>
        <v>24</v>
      </c>
      <c r="J5" s="1">
        <f t="shared" si="2"/>
        <v>156</v>
      </c>
    </row>
    <row r="6">
      <c r="A6" s="1" t="s">
        <v>11</v>
      </c>
      <c r="B6" s="1" t="s">
        <v>13</v>
      </c>
      <c r="C6" s="1">
        <f t="shared" ref="C6:J6" si="3">C5 * 1.3</f>
        <v>1170</v>
      </c>
      <c r="D6" s="4">
        <f t="shared" si="3"/>
        <v>265.2</v>
      </c>
      <c r="E6" s="4">
        <f t="shared" si="3"/>
        <v>140.4</v>
      </c>
      <c r="F6" s="4">
        <f t="shared" si="3"/>
        <v>140.4</v>
      </c>
      <c r="G6" s="4">
        <f t="shared" si="3"/>
        <v>327.6</v>
      </c>
      <c r="H6" s="4">
        <f t="shared" si="3"/>
        <v>17.16</v>
      </c>
      <c r="I6" s="4">
        <f t="shared" si="3"/>
        <v>31.2</v>
      </c>
      <c r="J6" s="4">
        <f t="shared" si="3"/>
        <v>202.8</v>
      </c>
    </row>
    <row r="7">
      <c r="A7" s="1" t="s">
        <v>32</v>
      </c>
      <c r="B7" s="1" t="s">
        <v>33</v>
      </c>
      <c r="C7" s="1">
        <f t="shared" ref="C7:J7" si="4">C6*4</f>
        <v>4680</v>
      </c>
      <c r="D7" s="4">
        <f t="shared" si="4"/>
        <v>1060.8</v>
      </c>
      <c r="E7" s="4">
        <f t="shared" si="4"/>
        <v>561.6</v>
      </c>
      <c r="F7" s="4">
        <f t="shared" si="4"/>
        <v>561.6</v>
      </c>
      <c r="G7" s="4">
        <f t="shared" si="4"/>
        <v>1310.4</v>
      </c>
      <c r="H7" s="4">
        <f t="shared" si="4"/>
        <v>68.64</v>
      </c>
      <c r="I7" s="4">
        <f t="shared" si="4"/>
        <v>124.8</v>
      </c>
      <c r="J7" s="4">
        <f t="shared" si="4"/>
        <v>811.2</v>
      </c>
    </row>
    <row r="8">
      <c r="A8" s="5" t="s">
        <v>34</v>
      </c>
      <c r="B8" s="5" t="s">
        <v>17</v>
      </c>
      <c r="C8" s="5">
        <f t="shared" ref="C8:J8" si="5">C7*2</f>
        <v>9360</v>
      </c>
      <c r="D8" s="6">
        <f t="shared" si="5"/>
        <v>2121.6</v>
      </c>
      <c r="E8" s="6">
        <f t="shared" si="5"/>
        <v>1123.2</v>
      </c>
      <c r="F8" s="6">
        <f t="shared" si="5"/>
        <v>1123.2</v>
      </c>
      <c r="G8" s="6">
        <f t="shared" si="5"/>
        <v>2620.8</v>
      </c>
      <c r="H8" s="6">
        <f t="shared" si="5"/>
        <v>137.28</v>
      </c>
      <c r="I8" s="6">
        <f t="shared" si="5"/>
        <v>249.6</v>
      </c>
      <c r="J8" s="6">
        <f t="shared" si="5"/>
        <v>1622.4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11">
      <c r="A11" s="1" t="s">
        <v>35</v>
      </c>
    </row>
  </sheetData>
  <hyperlinks>
    <hyperlink r:id="rId1" ref="C2"/>
    <hyperlink r:id="rId2" ref="D2"/>
    <hyperlink r:id="rId3" ref="E2"/>
    <hyperlink r:id="rId4" ref="F2"/>
    <hyperlink r:id="rId5" ref="G2"/>
    <hyperlink r:id="rId6" ref="H2"/>
    <hyperlink r:id="rId7" ref="I2"/>
    <hyperlink r:id="rId8" ref="J2"/>
    <hyperlink r:id="rId9" ref="C3"/>
    <hyperlink r:id="rId10" ref="D3"/>
    <hyperlink r:id="rId11" ref="E3"/>
    <hyperlink r:id="rId12" ref="F3"/>
    <hyperlink r:id="rId13" ref="G3"/>
    <hyperlink r:id="rId14" ref="H3"/>
    <hyperlink r:id="rId15" ref="I3"/>
    <hyperlink r:id="rId16" ref="J3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63"/>
    <col customWidth="1" min="9" max="9" width="27.88"/>
    <col customWidth="1" min="10" max="10" width="27.63"/>
    <col customWidth="1" min="11" max="11" width="28.88"/>
  </cols>
  <sheetData>
    <row r="1">
      <c r="A1" s="8"/>
      <c r="B1" s="9">
        <v>44866.0</v>
      </c>
      <c r="C1" s="9">
        <v>44896.0</v>
      </c>
      <c r="D1" s="9">
        <v>44562.0</v>
      </c>
      <c r="E1" s="9">
        <v>44958.0</v>
      </c>
      <c r="F1" s="9">
        <v>44986.0</v>
      </c>
      <c r="G1" s="9">
        <v>45017.0</v>
      </c>
      <c r="H1" s="10" t="s">
        <v>36</v>
      </c>
      <c r="I1" s="11" t="s">
        <v>37</v>
      </c>
      <c r="J1" s="12" t="s">
        <v>38</v>
      </c>
      <c r="K1" s="11" t="s">
        <v>39</v>
      </c>
    </row>
    <row r="2">
      <c r="A2" s="13" t="s">
        <v>1</v>
      </c>
      <c r="B2" s="14">
        <v>6.3468593E7</v>
      </c>
      <c r="C2" s="14">
        <v>7.9757352E7</v>
      </c>
      <c r="D2" s="14">
        <v>7.7640199E7</v>
      </c>
      <c r="E2" s="14">
        <v>7.5247773E7</v>
      </c>
      <c r="F2" s="14">
        <v>9.9767251E7</v>
      </c>
      <c r="G2" s="14">
        <v>9.6465026E7</v>
      </c>
      <c r="H2" s="15">
        <f t="shared" ref="H2:H9" si="2">SUM(B2:G2)</f>
        <v>492346194</v>
      </c>
      <c r="I2" s="16">
        <f t="shared" ref="I2:I8" si="3">H2/1024/1024</f>
        <v>469.53792</v>
      </c>
      <c r="J2" s="15">
        <f t="shared" ref="J2:K2" si="1">H2*2</f>
        <v>984692388</v>
      </c>
      <c r="K2" s="17">
        <f t="shared" si="1"/>
        <v>939.07584</v>
      </c>
    </row>
    <row r="3">
      <c r="A3" s="13" t="s">
        <v>5</v>
      </c>
      <c r="B3" s="14">
        <v>3.603795E7</v>
      </c>
      <c r="C3" s="14">
        <v>3.9058644E7</v>
      </c>
      <c r="D3" s="14">
        <v>3.0887512E7</v>
      </c>
      <c r="E3" s="14">
        <v>3.6373294E7</v>
      </c>
      <c r="F3" s="14">
        <v>4.0287628E7</v>
      </c>
      <c r="G3" s="14">
        <v>3.6840291E7</v>
      </c>
      <c r="H3" s="15">
        <f t="shared" si="2"/>
        <v>219485319</v>
      </c>
      <c r="I3" s="16">
        <f t="shared" si="3"/>
        <v>209.3175116</v>
      </c>
      <c r="J3" s="14">
        <f t="shared" ref="J3:K3" si="4">H3*2</f>
        <v>438970638</v>
      </c>
      <c r="K3" s="17">
        <f t="shared" si="4"/>
        <v>418.6350231</v>
      </c>
    </row>
    <row r="4">
      <c r="A4" s="13" t="s">
        <v>2</v>
      </c>
      <c r="B4" s="14">
        <v>3.7558519E7</v>
      </c>
      <c r="C4" s="14">
        <v>3.2829057E7</v>
      </c>
      <c r="D4" s="14">
        <v>3.3039507E7</v>
      </c>
      <c r="E4" s="14">
        <v>3.357962E7</v>
      </c>
      <c r="F4" s="14">
        <v>3.987947E7</v>
      </c>
      <c r="G4" s="14">
        <v>3.5841846E7</v>
      </c>
      <c r="H4" s="15">
        <f t="shared" si="2"/>
        <v>212728019</v>
      </c>
      <c r="I4" s="16">
        <f t="shared" si="3"/>
        <v>202.8732481</v>
      </c>
      <c r="J4" s="14">
        <f t="shared" ref="J4:K4" si="5">H4*2</f>
        <v>425456038</v>
      </c>
      <c r="K4" s="17">
        <f t="shared" si="5"/>
        <v>405.7464962</v>
      </c>
    </row>
    <row r="5">
      <c r="A5" s="13" t="s">
        <v>4</v>
      </c>
      <c r="B5" s="14">
        <v>1.8061088E7</v>
      </c>
      <c r="C5" s="14">
        <v>1.7750138E7</v>
      </c>
      <c r="D5" s="14">
        <v>1.7597855E7</v>
      </c>
      <c r="E5" s="14">
        <v>1.6440488E7</v>
      </c>
      <c r="F5" s="14">
        <v>1.752613E7</v>
      </c>
      <c r="G5" s="14">
        <v>1.6162877E7</v>
      </c>
      <c r="H5" s="15">
        <f t="shared" si="2"/>
        <v>103538576</v>
      </c>
      <c r="I5" s="16">
        <f t="shared" si="3"/>
        <v>98.74208069</v>
      </c>
      <c r="J5" s="14">
        <f t="shared" ref="J5:K5" si="6">H5*2</f>
        <v>207077152</v>
      </c>
      <c r="K5" s="17">
        <f t="shared" si="6"/>
        <v>197.4841614</v>
      </c>
    </row>
    <row r="6">
      <c r="A6" s="13" t="s">
        <v>3</v>
      </c>
      <c r="B6" s="14">
        <v>1.2783145E7</v>
      </c>
      <c r="C6" s="14">
        <v>1.3923872E7</v>
      </c>
      <c r="D6" s="14">
        <v>1.2554834E7</v>
      </c>
      <c r="E6" s="14">
        <v>1.3136935E7</v>
      </c>
      <c r="F6" s="14">
        <v>1.4718181E7</v>
      </c>
      <c r="G6" s="14">
        <v>1.2908278E7</v>
      </c>
      <c r="H6" s="15">
        <f t="shared" si="2"/>
        <v>80025245</v>
      </c>
      <c r="I6" s="16">
        <f t="shared" si="3"/>
        <v>76.31802082</v>
      </c>
      <c r="J6" s="14">
        <f t="shared" ref="J6:K6" si="7">H6*2</f>
        <v>160050490</v>
      </c>
      <c r="K6" s="17">
        <f t="shared" si="7"/>
        <v>152.6360416</v>
      </c>
    </row>
    <row r="7">
      <c r="A7" s="13" t="s">
        <v>8</v>
      </c>
      <c r="B7" s="18">
        <v>7854484.0</v>
      </c>
      <c r="C7" s="14">
        <v>9785584.0</v>
      </c>
      <c r="D7" s="14">
        <v>8614118.0</v>
      </c>
      <c r="E7" s="14">
        <v>7323747.0</v>
      </c>
      <c r="F7" s="14">
        <v>8978733.0</v>
      </c>
      <c r="G7" s="14">
        <v>8330407.0</v>
      </c>
      <c r="H7" s="15">
        <f t="shared" si="2"/>
        <v>50887073</v>
      </c>
      <c r="I7" s="16">
        <f t="shared" si="3"/>
        <v>48.52969456</v>
      </c>
      <c r="J7" s="14">
        <f t="shared" ref="J7:K7" si="8">H7*2</f>
        <v>101774146</v>
      </c>
      <c r="K7" s="17">
        <f t="shared" si="8"/>
        <v>97.05938911</v>
      </c>
    </row>
    <row r="8">
      <c r="A8" s="13" t="s">
        <v>7</v>
      </c>
      <c r="B8" s="14">
        <v>4774032.0</v>
      </c>
      <c r="C8" s="14">
        <v>4928698.0</v>
      </c>
      <c r="D8" s="14">
        <v>3812740.0</v>
      </c>
      <c r="E8" s="14">
        <v>3620356.0</v>
      </c>
      <c r="F8" s="14">
        <v>3947155.0</v>
      </c>
      <c r="G8" s="14">
        <v>3992941.0</v>
      </c>
      <c r="H8" s="15">
        <f t="shared" si="2"/>
        <v>25075922</v>
      </c>
      <c r="I8" s="16">
        <f t="shared" si="3"/>
        <v>23.91426277</v>
      </c>
      <c r="J8" s="14">
        <f t="shared" ref="J8:K8" si="9">H8*2</f>
        <v>50151844</v>
      </c>
      <c r="K8" s="17">
        <f t="shared" si="9"/>
        <v>47.82852554</v>
      </c>
    </row>
    <row r="9">
      <c r="A9" s="13" t="s">
        <v>6</v>
      </c>
      <c r="B9" s="19"/>
      <c r="C9" s="19"/>
      <c r="D9" s="19"/>
      <c r="E9" s="14">
        <v>6.0</v>
      </c>
      <c r="F9" s="14">
        <v>1722.0</v>
      </c>
      <c r="G9" s="14">
        <v>1438.0</v>
      </c>
      <c r="H9" s="15">
        <f t="shared" si="2"/>
        <v>3166</v>
      </c>
      <c r="I9" s="20">
        <v>1.0</v>
      </c>
      <c r="J9" s="14">
        <f>H9*2</f>
        <v>6332</v>
      </c>
      <c r="K9" s="2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63"/>
    <col customWidth="1" min="9" max="9" width="27.88"/>
    <col customWidth="1" min="10" max="10" width="27.63"/>
    <col customWidth="1" min="11" max="11" width="28.88"/>
  </cols>
  <sheetData>
    <row r="1">
      <c r="A1" s="8"/>
      <c r="B1" s="22">
        <v>45078.0</v>
      </c>
      <c r="C1" s="22">
        <v>45108.0</v>
      </c>
      <c r="D1" s="22">
        <v>45139.0</v>
      </c>
      <c r="E1" s="22">
        <v>45170.0</v>
      </c>
      <c r="F1" s="22">
        <v>45200.0</v>
      </c>
      <c r="G1" s="22">
        <v>45231.0</v>
      </c>
      <c r="H1" s="10" t="s">
        <v>36</v>
      </c>
      <c r="I1" s="23" t="s">
        <v>40</v>
      </c>
      <c r="J1" s="12" t="s">
        <v>38</v>
      </c>
      <c r="K1" s="11" t="s">
        <v>39</v>
      </c>
    </row>
    <row r="2">
      <c r="A2" s="13" t="s">
        <v>8</v>
      </c>
      <c r="B2" s="24">
        <v>1.5284596E7</v>
      </c>
      <c r="C2" s="24">
        <v>1.8794279E7</v>
      </c>
      <c r="D2" s="24">
        <v>2.4308553E7</v>
      </c>
      <c r="E2" s="24">
        <v>2.6076668E7</v>
      </c>
      <c r="F2" s="24">
        <v>3.1911101E7</v>
      </c>
      <c r="G2" s="24">
        <v>3.5555861E7</v>
      </c>
      <c r="H2" s="25">
        <f>SUM(B2:G2)</f>
        <v>151931058</v>
      </c>
      <c r="I2" s="16">
        <f>(H2/1024/1024)*2</f>
        <v>289.7854958</v>
      </c>
      <c r="J2" s="14">
        <f t="shared" ref="J2:K2" si="1">H2*2</f>
        <v>303862116</v>
      </c>
      <c r="K2" s="17">
        <f t="shared" si="1"/>
        <v>579.5709915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9" max="9" width="87.5"/>
  </cols>
  <sheetData>
    <row r="1">
      <c r="A1" s="26" t="s">
        <v>41</v>
      </c>
      <c r="B1" s="27" t="s">
        <v>42</v>
      </c>
      <c r="C1" s="27" t="s">
        <v>43</v>
      </c>
      <c r="D1" s="27" t="s">
        <v>44</v>
      </c>
      <c r="E1" s="27" t="s">
        <v>45</v>
      </c>
      <c r="F1" s="27" t="s">
        <v>46</v>
      </c>
      <c r="G1" s="27" t="s">
        <v>47</v>
      </c>
      <c r="H1" s="27" t="s">
        <v>48</v>
      </c>
      <c r="I1" s="27" t="s">
        <v>49</v>
      </c>
    </row>
    <row r="2">
      <c r="A2" s="28" t="s">
        <v>50</v>
      </c>
      <c r="B2" s="29">
        <v>2.4</v>
      </c>
      <c r="C2" s="29" t="s">
        <v>51</v>
      </c>
      <c r="D2" s="29">
        <v>2.0</v>
      </c>
      <c r="E2" s="29" t="s">
        <v>52</v>
      </c>
      <c r="F2" s="29" t="s">
        <v>53</v>
      </c>
      <c r="G2" s="29" t="s">
        <v>53</v>
      </c>
      <c r="H2" s="29" t="s">
        <v>54</v>
      </c>
      <c r="I2" s="30" t="s">
        <v>55</v>
      </c>
    </row>
    <row r="3">
      <c r="A3" s="28" t="s">
        <v>56</v>
      </c>
      <c r="B3" s="29">
        <v>2.4</v>
      </c>
      <c r="C3" s="29" t="s">
        <v>51</v>
      </c>
      <c r="D3" s="29">
        <v>2.0</v>
      </c>
      <c r="E3" s="29" t="s">
        <v>52</v>
      </c>
      <c r="F3" s="29" t="s">
        <v>53</v>
      </c>
      <c r="G3" s="29" t="s">
        <v>53</v>
      </c>
      <c r="H3" s="29" t="s">
        <v>54</v>
      </c>
      <c r="I3" s="30" t="s">
        <v>55</v>
      </c>
    </row>
    <row r="4">
      <c r="A4" s="28" t="s">
        <v>57</v>
      </c>
      <c r="B4" s="29">
        <v>2.4</v>
      </c>
      <c r="C4" s="29" t="s">
        <v>51</v>
      </c>
      <c r="D4" s="29">
        <v>2.0</v>
      </c>
      <c r="E4" s="29" t="s">
        <v>52</v>
      </c>
      <c r="F4" s="29" t="s">
        <v>53</v>
      </c>
      <c r="G4" s="29" t="s">
        <v>53</v>
      </c>
      <c r="H4" s="29" t="s">
        <v>54</v>
      </c>
      <c r="I4" s="30" t="s">
        <v>55</v>
      </c>
    </row>
    <row r="5">
      <c r="A5" s="28" t="s">
        <v>58</v>
      </c>
      <c r="B5" s="29">
        <v>2.4</v>
      </c>
      <c r="C5" s="29" t="s">
        <v>51</v>
      </c>
      <c r="D5" s="29">
        <v>2.0</v>
      </c>
      <c r="E5" s="29" t="s">
        <v>52</v>
      </c>
      <c r="F5" s="29" t="s">
        <v>53</v>
      </c>
      <c r="G5" s="29" t="s">
        <v>53</v>
      </c>
      <c r="H5" s="29" t="s">
        <v>54</v>
      </c>
      <c r="I5" s="30" t="s">
        <v>55</v>
      </c>
    </row>
    <row r="6">
      <c r="A6" s="28" t="s">
        <v>59</v>
      </c>
      <c r="B6" s="29">
        <v>1.2</v>
      </c>
      <c r="C6" s="29" t="s">
        <v>60</v>
      </c>
      <c r="D6" s="29">
        <v>2.0</v>
      </c>
      <c r="E6" s="29" t="s">
        <v>52</v>
      </c>
      <c r="F6" s="29" t="s">
        <v>53</v>
      </c>
      <c r="G6" s="29" t="s">
        <v>53</v>
      </c>
      <c r="H6" s="29" t="s">
        <v>54</v>
      </c>
      <c r="I6" s="30" t="s">
        <v>61</v>
      </c>
    </row>
    <row r="7">
      <c r="A7" s="28" t="s">
        <v>62</v>
      </c>
      <c r="B7" s="29">
        <v>1.2</v>
      </c>
      <c r="C7" s="29" t="s">
        <v>60</v>
      </c>
      <c r="D7" s="29">
        <v>2.0</v>
      </c>
      <c r="E7" s="29" t="s">
        <v>52</v>
      </c>
      <c r="F7" s="29" t="s">
        <v>53</v>
      </c>
      <c r="G7" s="29" t="s">
        <v>53</v>
      </c>
      <c r="H7" s="29" t="s">
        <v>54</v>
      </c>
      <c r="I7" s="30" t="s">
        <v>61</v>
      </c>
    </row>
    <row r="8">
      <c r="A8" s="28" t="s">
        <v>63</v>
      </c>
      <c r="B8" s="29">
        <v>1.2</v>
      </c>
      <c r="C8" s="29" t="s">
        <v>60</v>
      </c>
      <c r="D8" s="29">
        <v>2.0</v>
      </c>
      <c r="E8" s="29" t="s">
        <v>52</v>
      </c>
      <c r="F8" s="29" t="s">
        <v>53</v>
      </c>
      <c r="G8" s="29" t="s">
        <v>53</v>
      </c>
      <c r="H8" s="29" t="s">
        <v>54</v>
      </c>
      <c r="I8" s="30" t="s">
        <v>61</v>
      </c>
    </row>
    <row r="9">
      <c r="A9" s="28" t="s">
        <v>64</v>
      </c>
      <c r="B9" s="29">
        <v>1.2</v>
      </c>
      <c r="C9" s="29" t="s">
        <v>60</v>
      </c>
      <c r="D9" s="29">
        <v>2.0</v>
      </c>
      <c r="E9" s="29" t="s">
        <v>52</v>
      </c>
      <c r="F9" s="29" t="s">
        <v>53</v>
      </c>
      <c r="G9" s="29" t="s">
        <v>53</v>
      </c>
      <c r="H9" s="29" t="s">
        <v>54</v>
      </c>
      <c r="I9" s="30" t="s">
        <v>61</v>
      </c>
    </row>
  </sheetData>
  <drawing r:id="rId1"/>
</worksheet>
</file>